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dortamas/Downloads/"/>
    </mc:Choice>
  </mc:AlternateContent>
  <xr:revisionPtr revIDLastSave="0" documentId="13_ncr:1_{A5065CDC-CBFD-F14B-89D0-40B10CBB2CA3}" xr6:coauthVersionLast="47" xr6:coauthVersionMax="47" xr10:uidLastSave="{00000000-0000-0000-0000-000000000000}"/>
  <bookViews>
    <workbookView xWindow="40" yWindow="620" windowWidth="19200" windowHeight="19460" tabRatio="830" xr2:uid="{D7DF0782-01D2-DC4E-82BE-7DACDDF0F9D1}"/>
  </bookViews>
  <sheets>
    <sheet name="Marketing_Expenses_2018 (Roll)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1" i="11" l="1"/>
  <c r="B47" i="11" a="1"/>
  <c r="B47" i="11" s="1"/>
  <c r="B49" i="11" l="1" a="1"/>
  <c r="B49" i="11" s="1"/>
  <c r="B51" i="11" l="1" a="1"/>
  <c r="B51" i="11" s="1"/>
  <c r="Z37" i="11" l="1"/>
  <c r="Y37" i="11"/>
  <c r="X37" i="11"/>
  <c r="W37" i="11"/>
  <c r="V37" i="11"/>
  <c r="U37" i="11"/>
  <c r="T37" i="11"/>
  <c r="S37" i="11"/>
  <c r="R37" i="11"/>
  <c r="Q37" i="11"/>
  <c r="P37" i="11"/>
  <c r="O37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Z9" i="11"/>
  <c r="Y9" i="11"/>
  <c r="X9" i="11"/>
  <c r="W9" i="11"/>
  <c r="V9" i="11"/>
  <c r="U9" i="11"/>
  <c r="T9" i="11"/>
  <c r="S9" i="11"/>
  <c r="R9" i="11"/>
  <c r="Q9" i="11"/>
  <c r="P9" i="11"/>
  <c r="O9" i="11"/>
  <c r="Z8" i="11"/>
  <c r="Y8" i="11"/>
  <c r="X8" i="11"/>
  <c r="W8" i="11"/>
  <c r="V8" i="11"/>
  <c r="U8" i="11"/>
  <c r="T8" i="11"/>
  <c r="S8" i="11"/>
  <c r="R8" i="11"/>
  <c r="Q8" i="11"/>
  <c r="P8" i="11"/>
  <c r="O8" i="11"/>
  <c r="J40" i="11"/>
  <c r="G40" i="11"/>
  <c r="F40" i="11"/>
  <c r="B40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N38" i="11" s="1"/>
  <c r="N37" i="11"/>
  <c r="N36" i="11"/>
  <c r="N35" i="11"/>
  <c r="N34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N32" i="11" s="1"/>
  <c r="N31" i="11"/>
  <c r="N30" i="11"/>
  <c r="N29" i="11"/>
  <c r="N28" i="11"/>
  <c r="M26" i="11"/>
  <c r="L26" i="11"/>
  <c r="K26" i="11"/>
  <c r="J26" i="11"/>
  <c r="I26" i="11"/>
  <c r="H26" i="11"/>
  <c r="G26" i="11"/>
  <c r="F26" i="11"/>
  <c r="E26" i="11"/>
  <c r="N26" i="11" s="1"/>
  <c r="D26" i="11"/>
  <c r="C26" i="11"/>
  <c r="B26" i="11"/>
  <c r="N25" i="11"/>
  <c r="N24" i="11"/>
  <c r="N23" i="11"/>
  <c r="N22" i="11"/>
  <c r="N21" i="11"/>
  <c r="N20" i="11"/>
  <c r="M18" i="11"/>
  <c r="M40" i="11" s="1"/>
  <c r="M42" i="11" s="1"/>
  <c r="L18" i="11"/>
  <c r="L40" i="11" s="1"/>
  <c r="K18" i="11"/>
  <c r="K40" i="11" s="1"/>
  <c r="J18" i="11"/>
  <c r="I18" i="11"/>
  <c r="I40" i="11" s="1"/>
  <c r="I42" i="11" s="1"/>
  <c r="H18" i="11"/>
  <c r="H40" i="11" s="1"/>
  <c r="G18" i="11"/>
  <c r="F18" i="11"/>
  <c r="E18" i="11"/>
  <c r="E40" i="11" s="1"/>
  <c r="E42" i="11" s="1"/>
  <c r="D18" i="11"/>
  <c r="D40" i="11" s="1"/>
  <c r="C18" i="11"/>
  <c r="C40" i="11" s="1"/>
  <c r="B18" i="11"/>
  <c r="N17" i="11"/>
  <c r="N16" i="11"/>
  <c r="N15" i="11"/>
  <c r="N14" i="11"/>
  <c r="N13" i="11"/>
  <c r="N10" i="11"/>
  <c r="M10" i="11"/>
  <c r="L10" i="11"/>
  <c r="K10" i="11"/>
  <c r="K42" i="11" s="1"/>
  <c r="J10" i="11"/>
  <c r="J42" i="11" s="1"/>
  <c r="I10" i="11"/>
  <c r="H10" i="11"/>
  <c r="G10" i="11"/>
  <c r="G42" i="11" s="1"/>
  <c r="F10" i="11"/>
  <c r="E10" i="11"/>
  <c r="D10" i="11"/>
  <c r="C10" i="11"/>
  <c r="C42" i="11" s="1"/>
  <c r="B10" i="11"/>
  <c r="B42" i="11" s="1"/>
  <c r="N9" i="11"/>
  <c r="N8" i="11"/>
  <c r="Z10" i="11" l="1"/>
  <c r="U26" i="11"/>
  <c r="U38" i="11"/>
  <c r="V38" i="11"/>
  <c r="Z18" i="11"/>
  <c r="Z26" i="11"/>
  <c r="Z32" i="11"/>
  <c r="W38" i="11"/>
  <c r="U32" i="11"/>
  <c r="R18" i="11"/>
  <c r="R32" i="11"/>
  <c r="R10" i="11"/>
  <c r="R38" i="11"/>
  <c r="Z38" i="11"/>
  <c r="V26" i="11"/>
  <c r="R26" i="11"/>
  <c r="Q38" i="11"/>
  <c r="W26" i="11"/>
  <c r="Q10" i="11"/>
  <c r="Y10" i="11"/>
  <c r="Q18" i="11"/>
  <c r="Y18" i="11"/>
  <c r="V10" i="11"/>
  <c r="P32" i="11"/>
  <c r="X32" i="11"/>
  <c r="Q26" i="11"/>
  <c r="Y26" i="11"/>
  <c r="X38" i="11"/>
  <c r="Y38" i="11"/>
  <c r="T10" i="11"/>
  <c r="S10" i="11"/>
  <c r="P26" i="11"/>
  <c r="P38" i="11"/>
  <c r="Q32" i="11"/>
  <c r="Y32" i="11"/>
  <c r="F42" i="11"/>
  <c r="H42" i="11"/>
  <c r="U18" i="11"/>
  <c r="V18" i="11"/>
  <c r="S18" i="11"/>
  <c r="T18" i="11"/>
  <c r="U10" i="11"/>
  <c r="AA9" i="11"/>
  <c r="X26" i="11"/>
  <c r="V32" i="11"/>
  <c r="AA8" i="11"/>
  <c r="O18" i="11"/>
  <c r="W18" i="11"/>
  <c r="S26" i="11"/>
  <c r="S32" i="11"/>
  <c r="O32" i="11"/>
  <c r="W32" i="11"/>
  <c r="S38" i="11"/>
  <c r="P10" i="11"/>
  <c r="X18" i="11"/>
  <c r="T26" i="11"/>
  <c r="T32" i="11"/>
  <c r="T38" i="11"/>
  <c r="W10" i="11"/>
  <c r="X10" i="11"/>
  <c r="P18" i="11"/>
  <c r="AA21" i="11"/>
  <c r="AA37" i="11"/>
  <c r="AA35" i="11"/>
  <c r="AA13" i="11"/>
  <c r="AA29" i="11"/>
  <c r="AA25" i="11"/>
  <c r="AA14" i="11"/>
  <c r="AA16" i="11"/>
  <c r="AA20" i="11"/>
  <c r="AA22" i="11"/>
  <c r="AA24" i="11"/>
  <c r="AA28" i="11"/>
  <c r="AA30" i="11"/>
  <c r="AA34" i="11"/>
  <c r="AA36" i="11"/>
  <c r="O38" i="11"/>
  <c r="O26" i="11"/>
  <c r="AA17" i="11"/>
  <c r="AA31" i="11"/>
  <c r="O10" i="11"/>
  <c r="AA15" i="11"/>
  <c r="AA23" i="11"/>
  <c r="D42" i="11"/>
  <c r="L42" i="11"/>
  <c r="N40" i="11"/>
  <c r="N18" i="11"/>
  <c r="R40" i="11" l="1"/>
  <c r="R42" i="11" s="1"/>
  <c r="Z40" i="11"/>
  <c r="Z42" i="11" s="1"/>
  <c r="U40" i="11"/>
  <c r="U42" i="11" s="1"/>
  <c r="V40" i="11"/>
  <c r="V42" i="11" s="1"/>
  <c r="Y40" i="11"/>
  <c r="Y42" i="11" s="1"/>
  <c r="Q40" i="11"/>
  <c r="Q42" i="11" s="1"/>
  <c r="P40" i="11"/>
  <c r="P42" i="11" s="1"/>
  <c r="N42" i="11"/>
  <c r="AA10" i="11"/>
  <c r="X40" i="11"/>
  <c r="X42" i="11" s="1"/>
  <c r="AA18" i="11"/>
  <c r="W40" i="11"/>
  <c r="W42" i="11" s="1"/>
  <c r="T40" i="11"/>
  <c r="T42" i="11" s="1"/>
  <c r="S40" i="11"/>
  <c r="S42" i="11" s="1"/>
  <c r="AA32" i="11"/>
  <c r="AA38" i="11"/>
  <c r="O40" i="11"/>
  <c r="AA26" i="11"/>
  <c r="AA40" i="11" l="1"/>
  <c r="O42" i="11"/>
  <c r="AA4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<sst xmlns="http://schemas.openxmlformats.org/spreadsheetml/2006/main" count="44" uniqueCount="42">
  <si>
    <t>Salaries and Wages</t>
  </si>
  <si>
    <t>Other</t>
  </si>
  <si>
    <t>(US dollar, in thousands)</t>
  </si>
  <si>
    <t>Totals</t>
  </si>
  <si>
    <t>Benefits</t>
  </si>
  <si>
    <t>MARKETING ACTIVITIES</t>
  </si>
  <si>
    <t>Advertising</t>
  </si>
  <si>
    <t>Online Ads (Search Engine, Banner)</t>
  </si>
  <si>
    <t>Television/Radio Ads (broadcast)</t>
  </si>
  <si>
    <t>Print Ads</t>
  </si>
  <si>
    <t>Sponsored Content</t>
  </si>
  <si>
    <t>Total Advertising</t>
  </si>
  <si>
    <t>Social Media</t>
  </si>
  <si>
    <t>Facebook</t>
  </si>
  <si>
    <t>Instagram</t>
  </si>
  <si>
    <t>Twitter</t>
  </si>
  <si>
    <t>LinkedIn</t>
  </si>
  <si>
    <t>Pinterest</t>
  </si>
  <si>
    <t>Total Social Media</t>
  </si>
  <si>
    <t>Public Relations</t>
  </si>
  <si>
    <t>Press Releases</t>
  </si>
  <si>
    <t>Conferences</t>
  </si>
  <si>
    <t>Events</t>
  </si>
  <si>
    <t>Promotions</t>
  </si>
  <si>
    <t>Total Public Relations</t>
  </si>
  <si>
    <t>Market Research</t>
  </si>
  <si>
    <t>Secondary Research</t>
  </si>
  <si>
    <t>Surveys</t>
  </si>
  <si>
    <t>Focus Groups &amp; Interviews</t>
  </si>
  <si>
    <t>Field Trials</t>
  </si>
  <si>
    <t>Total Market Research</t>
  </si>
  <si>
    <t>Total Marketing Activities</t>
  </si>
  <si>
    <t>Marketing Totals</t>
  </si>
  <si>
    <t>MARKETING LABOR</t>
  </si>
  <si>
    <t>Labor</t>
  </si>
  <si>
    <t>Total Labor</t>
  </si>
  <si>
    <t>Beginning</t>
  </si>
  <si>
    <t>End</t>
  </si>
  <si>
    <t>Measure</t>
  </si>
  <si>
    <t>Average</t>
  </si>
  <si>
    <t>Red30 Tech 2018-2019 Marketing Expenses</t>
  </si>
  <si>
    <t>Months to SPILL: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</si>
</sst>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_);_(@_)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theme="4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3333FF"/>
      <name val="Calibri"/>
      <family val="2"/>
      <scheme val="minor"/>
    </font>
    <font>
      <b/>
      <sz val="12"/>
      <color theme="4" tint="-0.499984740745262"/>
      <name val="Calibri Light"/>
      <family val="2"/>
      <scheme val="major"/>
    </font>
    <font>
      <b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6" fillId="0" borderId="0" xfId="0" applyNumberFormat="1" applyFont="1"/>
    <xf numFmtId="164" fontId="6" fillId="0" borderId="2" xfId="0" applyNumberFormat="1" applyFont="1" applyBorder="1"/>
    <xf numFmtId="0" fontId="3" fillId="0" borderId="3" xfId="0" applyFont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/>
    </xf>
    <xf numFmtId="0" fontId="5" fillId="3" borderId="0" xfId="0" applyFont="1" applyFill="1"/>
    <xf numFmtId="164" fontId="7" fillId="0" borderId="0" xfId="0" applyNumberFormat="1" applyFont="1"/>
    <xf numFmtId="164" fontId="7" fillId="0" borderId="2" xfId="0" applyNumberFormat="1" applyFont="1" applyBorder="1"/>
    <xf numFmtId="0" fontId="2" fillId="0" borderId="0" xfId="0" applyFont="1"/>
    <xf numFmtId="0" fontId="4" fillId="2" borderId="0" xfId="0" applyFont="1" applyFill="1" applyAlignment="1">
      <alignment horizontal="center"/>
    </xf>
    <xf numFmtId="17" fontId="4" fillId="2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7" fontId="9" fillId="4" borderId="6" xfId="0" applyNumberFormat="1" applyFont="1" applyFill="1" applyBorder="1"/>
    <xf numFmtId="164" fontId="0" fillId="0" borderId="2" xfId="0" applyNumberFormat="1" applyBorder="1"/>
    <xf numFmtId="164" fontId="10" fillId="5" borderId="6" xfId="0" applyNumberFormat="1" applyFont="1" applyFill="1" applyBorder="1"/>
    <xf numFmtId="164" fontId="10" fillId="5" borderId="7" xfId="0" applyNumberFormat="1" applyFont="1" applyFill="1" applyBorder="1"/>
    <xf numFmtId="0" fontId="12" fillId="0" borderId="0" xfId="0" applyFont="1"/>
    <xf numFmtId="0" fontId="4" fillId="2" borderId="0" xfId="0" applyFont="1" applyFill="1" applyAlignment="1">
      <alignment horizontal="left"/>
    </xf>
    <xf numFmtId="17" fontId="4" fillId="2" borderId="0" xfId="0" applyNumberFormat="1" applyFont="1" applyFill="1" applyAlignment="1">
      <alignment horizontal="left"/>
    </xf>
    <xf numFmtId="0" fontId="4" fillId="2" borderId="9" xfId="0" applyFont="1" applyFill="1" applyBorder="1" applyAlignment="1">
      <alignment horizontal="center"/>
    </xf>
    <xf numFmtId="164" fontId="0" fillId="0" borderId="0" xfId="0" applyNumberFormat="1"/>
    <xf numFmtId="0" fontId="0" fillId="0" borderId="2" xfId="0" applyBorder="1"/>
    <xf numFmtId="0" fontId="11" fillId="0" borderId="0" xfId="0" applyFont="1" applyAlignment="1">
      <alignment horizontal="left"/>
    </xf>
    <xf numFmtId="164" fontId="11" fillId="0" borderId="0" xfId="0" applyNumberFormat="1" applyFont="1"/>
    <xf numFmtId="164" fontId="11" fillId="0" borderId="2" xfId="0" applyNumberFormat="1" applyFont="1" applyBorder="1"/>
    <xf numFmtId="0" fontId="2" fillId="0" borderId="2" xfId="0" applyFont="1" applyBorder="1"/>
    <xf numFmtId="0" fontId="2" fillId="0" borderId="5" xfId="0" applyFont="1" applyBorder="1"/>
    <xf numFmtId="164" fontId="0" fillId="0" borderId="10" xfId="0" applyNumberFormat="1" applyBorder="1"/>
    <xf numFmtId="164" fontId="0" fillId="0" borderId="5" xfId="0" applyNumberFormat="1" applyBorder="1"/>
    <xf numFmtId="0" fontId="2" fillId="0" borderId="0" xfId="0" applyFont="1" applyAlignment="1">
      <alignment horizontal="center"/>
    </xf>
    <xf numFmtId="17" fontId="13" fillId="5" borderId="11" xfId="0" applyNumberFormat="1" applyFont="1" applyFill="1" applyBorder="1" applyAlignment="1">
      <alignment horizontal="center"/>
    </xf>
    <xf numFmtId="164" fontId="2" fillId="5" borderId="8" xfId="0" applyNumberFormat="1" applyFont="1" applyFill="1" applyBorder="1"/>
    <xf numFmtId="164" fontId="14" fillId="5" borderId="6" xfId="0" applyNumberFormat="1" applyFont="1" applyFill="1" applyBorder="1"/>
    <xf numFmtId="164" fontId="14" fillId="5" borderId="7" xfId="0" applyNumberFormat="1" applyFont="1" applyFill="1" applyBorder="1"/>
    <xf numFmtId="0" fontId="0" fillId="0" borderId="0" xfId="0" applyAlignment="1">
      <alignment horizontal="right"/>
    </xf>
    <xf numFmtId="0" fontId="15" fillId="0" borderId="0" xfId="0" applyFont="1" applyAlignment="1">
      <alignment horizontal="right"/>
    </xf>
    <xf numFmtId="0" fontId="8" fillId="0" borderId="0" xfId="0" applyFont="1" applyAlignment="1">
      <alignment horizontal="left" vertical="top"/>
    </xf>
  </cellXfs>
  <cellStyles count="2">
    <cellStyle name="Normal" xfId="0" builtinId="0"/>
    <cellStyle name="Normal 2" xfId="1" xr:uid="{17855176-85C2-49E8-982C-E8B52EE35258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333FF"/>
      <color rgb="FF411012"/>
      <color rgb="FF1F847D"/>
      <color rgb="FF941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101600</xdr:rowOff>
    </xdr:from>
    <xdr:to>
      <xdr:col>0</xdr:col>
      <xdr:colOff>2085192</xdr:colOff>
      <xdr:row>4</xdr:row>
      <xdr:rowOff>37603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A2523-5D7B-4D63-B6B9-9E2473609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1600"/>
          <a:ext cx="1818492" cy="7306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DCCC-8A0D-4EAA-9088-2FA172E5B745}">
  <dimension ref="A1:AA51"/>
  <sheetViews>
    <sheetView showGridLines="0" tabSelected="1" zoomScaleNormal="100" workbookViewId="0">
      <pane xSplit="1" ySplit="6" topLeftCell="H14" activePane="bottomRight" state="frozen"/>
      <selection activeCell="B35" sqref="B35"/>
      <selection pane="topRight" activeCell="B35" sqref="B35"/>
      <selection pane="bottomLeft" activeCell="B35" sqref="B35"/>
      <selection pane="bottomRight" activeCell="A51" sqref="A51"/>
    </sheetView>
  </sheetViews>
  <sheetFormatPr baseColWidth="10" defaultColWidth="11" defaultRowHeight="16" x14ac:dyDescent="0.2"/>
  <cols>
    <col min="1" max="1" width="33.5" customWidth="1"/>
    <col min="2" max="27" width="12.83203125" customWidth="1"/>
  </cols>
  <sheetData>
    <row r="1" spans="1:27" x14ac:dyDescent="0.2">
      <c r="M1" s="33" t="s">
        <v>38</v>
      </c>
      <c r="N1" s="34" t="s">
        <v>39</v>
      </c>
    </row>
    <row r="2" spans="1:27" ht="15.75" customHeight="1" x14ac:dyDescent="0.2">
      <c r="B2" s="40" t="s">
        <v>40</v>
      </c>
      <c r="C2" s="40"/>
      <c r="D2" s="40"/>
      <c r="E2" s="40"/>
      <c r="F2" s="40"/>
      <c r="M2" s="33" t="s">
        <v>36</v>
      </c>
      <c r="N2" s="34">
        <v>43101</v>
      </c>
    </row>
    <row r="3" spans="1:27" ht="15.75" customHeight="1" x14ac:dyDescent="0.2">
      <c r="A3" s="20"/>
      <c r="B3" s="40"/>
      <c r="C3" s="40"/>
      <c r="D3" s="40"/>
      <c r="E3" s="40"/>
      <c r="F3" s="40"/>
      <c r="M3" s="33" t="s">
        <v>37</v>
      </c>
      <c r="N3" s="34">
        <v>43435</v>
      </c>
    </row>
    <row r="4" spans="1:27" x14ac:dyDescent="0.2">
      <c r="A4" s="20"/>
      <c r="B4" s="1" t="s">
        <v>2</v>
      </c>
      <c r="C4" s="12"/>
      <c r="D4" s="1"/>
      <c r="E4" s="1"/>
    </row>
    <row r="6" spans="1:27" x14ac:dyDescent="0.2">
      <c r="A6" s="21" t="s">
        <v>33</v>
      </c>
      <c r="B6" s="14">
        <v>43101</v>
      </c>
      <c r="C6" s="14">
        <v>43132</v>
      </c>
      <c r="D6" s="14">
        <v>43160</v>
      </c>
      <c r="E6" s="14">
        <v>43191</v>
      </c>
      <c r="F6" s="14">
        <v>43221</v>
      </c>
      <c r="G6" s="14">
        <v>43252</v>
      </c>
      <c r="H6" s="14">
        <v>43282</v>
      </c>
      <c r="I6" s="14">
        <v>43313</v>
      </c>
      <c r="J6" s="14">
        <v>43344</v>
      </c>
      <c r="K6" s="14">
        <v>43374</v>
      </c>
      <c r="L6" s="14">
        <v>43405</v>
      </c>
      <c r="M6" s="14">
        <v>43435</v>
      </c>
      <c r="N6" s="15" t="s">
        <v>3</v>
      </c>
      <c r="O6" s="14">
        <v>43466</v>
      </c>
      <c r="P6" s="14">
        <v>43497</v>
      </c>
      <c r="Q6" s="14">
        <v>43525</v>
      </c>
      <c r="R6" s="14">
        <v>43556</v>
      </c>
      <c r="S6" s="14">
        <v>43586</v>
      </c>
      <c r="T6" s="14">
        <v>43617</v>
      </c>
      <c r="U6" s="14">
        <v>43647</v>
      </c>
      <c r="V6" s="14">
        <v>43678</v>
      </c>
      <c r="W6" s="14">
        <v>43709</v>
      </c>
      <c r="X6" s="14">
        <v>43739</v>
      </c>
      <c r="Y6" s="14">
        <v>43770</v>
      </c>
      <c r="Z6" s="14">
        <v>43800</v>
      </c>
      <c r="AA6" s="15" t="s">
        <v>3</v>
      </c>
    </row>
    <row r="7" spans="1:27" x14ac:dyDescent="0.2">
      <c r="A7" s="8" t="s">
        <v>34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6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6"/>
    </row>
    <row r="8" spans="1:27" x14ac:dyDescent="0.2">
      <c r="A8" s="2" t="s">
        <v>0</v>
      </c>
      <c r="B8" s="4">
        <v>2244</v>
      </c>
      <c r="C8" s="4">
        <v>2240</v>
      </c>
      <c r="D8" s="4">
        <v>2131</v>
      </c>
      <c r="E8" s="4">
        <v>2144</v>
      </c>
      <c r="F8" s="4">
        <v>2161</v>
      </c>
      <c r="G8" s="4">
        <v>2229</v>
      </c>
      <c r="H8" s="4">
        <v>2225</v>
      </c>
      <c r="I8" s="4">
        <v>2214</v>
      </c>
      <c r="J8" s="4">
        <v>2238</v>
      </c>
      <c r="K8" s="4">
        <v>2429</v>
      </c>
      <c r="L8" s="4">
        <v>2421</v>
      </c>
      <c r="M8" s="4">
        <v>2437</v>
      </c>
      <c r="N8" s="36">
        <f>SUM(B8:M8)</f>
        <v>27113</v>
      </c>
      <c r="O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P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Q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R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S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T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U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V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W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X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Y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Z8" s="4">
        <f>CHOOSE(MATCH($N$1,{"Average","Min","Max"},0),AVERAGE(_xlfn.XLOOKUP($N$2,$B$6:$M$6,$B8:$M8,,0,1):_xlfn.XLOOKUP($N$3,$B$6:$M$6,$B8:$M8,,0,1)),MIN(_xlfn.XLOOKUP($N$2,$B$6:$M$6,$B8:$M8,,0,1):_xlfn.XLOOKUP($N$3,$B$6:$M$6,$B8:$M8,,0,1)),MAX(_xlfn.XLOOKUP($N$2,$B$6:$M$6,$B8:$M8,,0,1):_xlfn.XLOOKUP($N$3,$B$6:$M$6,$B8:$M8,,0,1)))</f>
        <v>2259.4166666666665</v>
      </c>
      <c r="AA8" s="36">
        <f>SUM(O8:Z8)</f>
        <v>27113.000000000004</v>
      </c>
    </row>
    <row r="9" spans="1:27" x14ac:dyDescent="0.2">
      <c r="A9" s="3" t="s">
        <v>4</v>
      </c>
      <c r="B9" s="5">
        <v>696</v>
      </c>
      <c r="C9" s="5">
        <v>694</v>
      </c>
      <c r="D9" s="5">
        <v>661</v>
      </c>
      <c r="E9" s="5">
        <v>665</v>
      </c>
      <c r="F9" s="5">
        <v>670</v>
      </c>
      <c r="G9" s="5">
        <v>691</v>
      </c>
      <c r="H9" s="5">
        <v>690</v>
      </c>
      <c r="I9" s="5">
        <v>686</v>
      </c>
      <c r="J9" s="5">
        <v>694</v>
      </c>
      <c r="K9" s="5">
        <v>753</v>
      </c>
      <c r="L9" s="5">
        <v>751</v>
      </c>
      <c r="M9" s="5">
        <v>755</v>
      </c>
      <c r="N9" s="37">
        <f>SUM(B9:M9)</f>
        <v>8406</v>
      </c>
      <c r="O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P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Q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R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S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T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U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V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W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X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Y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Z9" s="5">
        <f>CHOOSE(MATCH($N$1,{"Average","Min","Max"},0),AVERAGE(_xlfn.XLOOKUP($N$2,$B$6:$M$6,$B9:$M9,,0,1):_xlfn.XLOOKUP($N$3,$B$6:$M$6,$B9:$M9,,0,1)),MIN(_xlfn.XLOOKUP($N$2,$B$6:$M$6,$B9:$M9,,0,1):_xlfn.XLOOKUP($N$3,$B$6:$M$6,$B9:$M9,,0,1)),MAX(_xlfn.XLOOKUP($N$2,$B$6:$M$6,$B9:$M9,,0,1):_xlfn.XLOOKUP($N$3,$B$6:$M$6,$B9:$M9,,0,1)))</f>
        <v>700.5</v>
      </c>
      <c r="AA9" s="37">
        <f>SUM(O9:Z9)</f>
        <v>8406</v>
      </c>
    </row>
    <row r="10" spans="1:27" x14ac:dyDescent="0.2">
      <c r="A10" s="6" t="s">
        <v>35</v>
      </c>
      <c r="B10" s="10">
        <f t="shared" ref="B10:Z10" si="0">SUM(B8:B9)</f>
        <v>2940</v>
      </c>
      <c r="C10" s="10">
        <f t="shared" si="0"/>
        <v>2934</v>
      </c>
      <c r="D10" s="10">
        <f t="shared" si="0"/>
        <v>2792</v>
      </c>
      <c r="E10" s="10">
        <f t="shared" si="0"/>
        <v>2809</v>
      </c>
      <c r="F10" s="10">
        <f t="shared" si="0"/>
        <v>2831</v>
      </c>
      <c r="G10" s="10">
        <f t="shared" si="0"/>
        <v>2920</v>
      </c>
      <c r="H10" s="10">
        <f t="shared" si="0"/>
        <v>2915</v>
      </c>
      <c r="I10" s="10">
        <f t="shared" si="0"/>
        <v>2900</v>
      </c>
      <c r="J10" s="10">
        <f t="shared" si="0"/>
        <v>2932</v>
      </c>
      <c r="K10" s="10">
        <f t="shared" si="0"/>
        <v>3182</v>
      </c>
      <c r="L10" s="10">
        <f t="shared" si="0"/>
        <v>3172</v>
      </c>
      <c r="M10" s="10">
        <f t="shared" si="0"/>
        <v>3192</v>
      </c>
      <c r="N10" s="18">
        <f t="shared" si="0"/>
        <v>35519</v>
      </c>
      <c r="O10" s="10">
        <f t="shared" si="0"/>
        <v>2959.9166666666665</v>
      </c>
      <c r="P10" s="10">
        <f t="shared" si="0"/>
        <v>2959.9166666666665</v>
      </c>
      <c r="Q10" s="10">
        <f t="shared" si="0"/>
        <v>2959.9166666666665</v>
      </c>
      <c r="R10" s="10">
        <f t="shared" si="0"/>
        <v>2959.9166666666665</v>
      </c>
      <c r="S10" s="10">
        <f t="shared" si="0"/>
        <v>2959.9166666666665</v>
      </c>
      <c r="T10" s="10">
        <f t="shared" si="0"/>
        <v>2959.9166666666665</v>
      </c>
      <c r="U10" s="10">
        <f t="shared" si="0"/>
        <v>2959.9166666666665</v>
      </c>
      <c r="V10" s="10">
        <f t="shared" si="0"/>
        <v>2959.9166666666665</v>
      </c>
      <c r="W10" s="10">
        <f t="shared" si="0"/>
        <v>2959.9166666666665</v>
      </c>
      <c r="X10" s="10">
        <f t="shared" si="0"/>
        <v>2959.9166666666665</v>
      </c>
      <c r="Y10" s="10">
        <f t="shared" si="0"/>
        <v>2959.9166666666665</v>
      </c>
      <c r="Z10" s="10">
        <f t="shared" si="0"/>
        <v>2959.9166666666665</v>
      </c>
      <c r="AA10" s="18">
        <f t="shared" ref="AA10" si="1">SUM(AA8:AA9)</f>
        <v>35519</v>
      </c>
    </row>
    <row r="11" spans="1:27" x14ac:dyDescent="0.2">
      <c r="A11" s="22" t="s">
        <v>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2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23"/>
    </row>
    <row r="12" spans="1:27" x14ac:dyDescent="0.2">
      <c r="A12" s="8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1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16"/>
    </row>
    <row r="13" spans="1:27" x14ac:dyDescent="0.2">
      <c r="A13" t="s">
        <v>7</v>
      </c>
      <c r="B13" s="24">
        <v>404</v>
      </c>
      <c r="C13" s="24">
        <v>411</v>
      </c>
      <c r="D13" s="24">
        <v>415</v>
      </c>
      <c r="E13" s="24">
        <v>414</v>
      </c>
      <c r="F13" s="24">
        <v>394</v>
      </c>
      <c r="G13" s="24">
        <v>402</v>
      </c>
      <c r="H13" s="24">
        <v>428</v>
      </c>
      <c r="I13" s="24">
        <v>415</v>
      </c>
      <c r="J13" s="24">
        <v>414</v>
      </c>
      <c r="K13" s="24">
        <v>418</v>
      </c>
      <c r="L13" s="24">
        <v>421</v>
      </c>
      <c r="M13" s="24">
        <v>428</v>
      </c>
      <c r="N13" s="18">
        <f>SUM(B13:M13)</f>
        <v>4964</v>
      </c>
      <c r="O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P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Q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R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S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T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U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V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W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X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Y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Z13" s="24">
        <f>CHOOSE(MATCH($N$1,{"Average","Min","Max"},0),AVERAGE(_xlfn.XLOOKUP($N$2,$B$6:$M$6,$B13:$M13,,0,1):_xlfn.XLOOKUP($N$3,$B$6:$M$6,$B13:$M13,,0,1)),MIN(_xlfn.XLOOKUP($N$2,$B$6:$M$6,$B13:$M13,,0,1):_xlfn.XLOOKUP($N$3,$B$6:$M$6,$B13:$M13,,0,1)),MAX(_xlfn.XLOOKUP($N$2,$B$6:$M$6,$B13:$M13,,0,1):_xlfn.XLOOKUP($N$3,$B$6:$M$6,$B13:$M13,,0,1)))</f>
        <v>413.66666666666669</v>
      </c>
      <c r="AA13" s="18">
        <f t="shared" ref="AA13:AA18" si="2">SUM(O13:Z13)</f>
        <v>4964</v>
      </c>
    </row>
    <row r="14" spans="1:27" x14ac:dyDescent="0.2">
      <c r="A14" t="s">
        <v>8</v>
      </c>
      <c r="B14" s="24">
        <v>625</v>
      </c>
      <c r="C14" s="24">
        <v>622</v>
      </c>
      <c r="D14" s="24">
        <v>626</v>
      </c>
      <c r="E14" s="24">
        <v>601</v>
      </c>
      <c r="F14" s="24">
        <v>597</v>
      </c>
      <c r="G14" s="24">
        <v>639</v>
      </c>
      <c r="H14" s="24">
        <v>678</v>
      </c>
      <c r="I14" s="24">
        <v>643</v>
      </c>
      <c r="J14" s="24">
        <v>645</v>
      </c>
      <c r="K14" s="24">
        <v>657</v>
      </c>
      <c r="L14" s="24">
        <v>655</v>
      </c>
      <c r="M14" s="24">
        <v>659</v>
      </c>
      <c r="N14" s="18">
        <f t="shared" ref="N14:N25" si="3">SUM(B14:M14)</f>
        <v>7647</v>
      </c>
      <c r="O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P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Q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R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S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T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U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V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W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X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Y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Z14" s="24">
        <f>CHOOSE(MATCH($N$1,{"Average","Min","Max"},0),AVERAGE(_xlfn.XLOOKUP($N$2,$B$6:$M$6,$B14:$M14,,0,1):_xlfn.XLOOKUP($N$3,$B$6:$M$6,$B14:$M14,,0,1)),MIN(_xlfn.XLOOKUP($N$2,$B$6:$M$6,$B14:$M14,,0,1):_xlfn.XLOOKUP($N$3,$B$6:$M$6,$B14:$M14,,0,1)),MAX(_xlfn.XLOOKUP($N$2,$B$6:$M$6,$B14:$M14,,0,1):_xlfn.XLOOKUP($N$3,$B$6:$M$6,$B14:$M14,,0,1)))</f>
        <v>637.25</v>
      </c>
      <c r="AA14" s="18">
        <f t="shared" si="2"/>
        <v>7647</v>
      </c>
    </row>
    <row r="15" spans="1:27" x14ac:dyDescent="0.2">
      <c r="A15" t="s">
        <v>9</v>
      </c>
      <c r="B15" s="24">
        <v>354</v>
      </c>
      <c r="C15" s="24">
        <v>356</v>
      </c>
      <c r="D15" s="24">
        <v>361</v>
      </c>
      <c r="E15" s="24">
        <v>357</v>
      </c>
      <c r="F15" s="24">
        <v>310</v>
      </c>
      <c r="G15" s="24">
        <v>313</v>
      </c>
      <c r="H15" s="24">
        <v>325</v>
      </c>
      <c r="I15" s="24">
        <v>344</v>
      </c>
      <c r="J15" s="24">
        <v>347</v>
      </c>
      <c r="K15" s="24">
        <v>352</v>
      </c>
      <c r="L15" s="24">
        <v>360</v>
      </c>
      <c r="M15" s="24">
        <v>362</v>
      </c>
      <c r="N15" s="18">
        <f t="shared" si="3"/>
        <v>4141</v>
      </c>
      <c r="O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P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Q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R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S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T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U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V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W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X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Y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Z15" s="24">
        <f>CHOOSE(MATCH($N$1,{"Average","Min","Max"},0),AVERAGE(_xlfn.XLOOKUP($N$2,$B$6:$M$6,$B15:$M15,,0,1):_xlfn.XLOOKUP($N$3,$B$6:$M$6,$B15:$M15,,0,1)),MIN(_xlfn.XLOOKUP($N$2,$B$6:$M$6,$B15:$M15,,0,1):_xlfn.XLOOKUP($N$3,$B$6:$M$6,$B15:$M15,,0,1)),MAX(_xlfn.XLOOKUP($N$2,$B$6:$M$6,$B15:$M15,,0,1):_xlfn.XLOOKUP($N$3,$B$6:$M$6,$B15:$M15,,0,1)))</f>
        <v>345.08333333333331</v>
      </c>
      <c r="AA15" s="18">
        <f t="shared" si="2"/>
        <v>4141.0000000000009</v>
      </c>
    </row>
    <row r="16" spans="1:27" x14ac:dyDescent="0.2">
      <c r="A16" t="s">
        <v>10</v>
      </c>
      <c r="B16" s="24">
        <v>329</v>
      </c>
      <c r="C16" s="24">
        <v>331</v>
      </c>
      <c r="D16" s="24">
        <v>330</v>
      </c>
      <c r="E16" s="24">
        <v>323</v>
      </c>
      <c r="F16" s="24">
        <v>317</v>
      </c>
      <c r="G16" s="24">
        <v>331</v>
      </c>
      <c r="H16" s="24">
        <v>353</v>
      </c>
      <c r="I16" s="24">
        <v>358</v>
      </c>
      <c r="J16" s="24">
        <v>359</v>
      </c>
      <c r="K16" s="24">
        <v>361</v>
      </c>
      <c r="L16" s="24">
        <v>353</v>
      </c>
      <c r="M16" s="24">
        <v>362</v>
      </c>
      <c r="N16" s="18">
        <f t="shared" si="3"/>
        <v>4107</v>
      </c>
      <c r="O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P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Q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R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S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T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U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V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W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X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Y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Z16" s="24">
        <f>CHOOSE(MATCH($N$1,{"Average","Min","Max"},0),AVERAGE(_xlfn.XLOOKUP($N$2,$B$6:$M$6,$B16:$M16,,0,1):_xlfn.XLOOKUP($N$3,$B$6:$M$6,$B16:$M16,,0,1)),MIN(_xlfn.XLOOKUP($N$2,$B$6:$M$6,$B16:$M16,,0,1):_xlfn.XLOOKUP($N$3,$B$6:$M$6,$B16:$M16,,0,1)),MAX(_xlfn.XLOOKUP($N$2,$B$6:$M$6,$B16:$M16,,0,1):_xlfn.XLOOKUP($N$3,$B$6:$M$6,$B16:$M16,,0,1)))</f>
        <v>342.25</v>
      </c>
      <c r="AA16" s="18">
        <f t="shared" si="2"/>
        <v>4107</v>
      </c>
    </row>
    <row r="17" spans="1:27" x14ac:dyDescent="0.2">
      <c r="A17" t="s">
        <v>1</v>
      </c>
      <c r="B17" s="17">
        <v>216</v>
      </c>
      <c r="C17" s="17">
        <v>217</v>
      </c>
      <c r="D17" s="17">
        <v>214</v>
      </c>
      <c r="E17" s="17">
        <v>209</v>
      </c>
      <c r="F17" s="17">
        <v>202</v>
      </c>
      <c r="G17" s="17">
        <v>220</v>
      </c>
      <c r="H17" s="17">
        <v>243</v>
      </c>
      <c r="I17" s="17">
        <v>224</v>
      </c>
      <c r="J17" s="17">
        <v>228</v>
      </c>
      <c r="K17" s="17">
        <v>226</v>
      </c>
      <c r="L17" s="17">
        <v>221</v>
      </c>
      <c r="M17" s="31">
        <v>228</v>
      </c>
      <c r="N17" s="19">
        <f t="shared" si="3"/>
        <v>2648</v>
      </c>
      <c r="O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P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Q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R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S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T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U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V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W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X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Y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Z17" s="17">
        <f>CHOOSE(MATCH($N$1,{"Average","Min","Max"},0),AVERAGE(_xlfn.XLOOKUP($N$2,$B$6:$M$6,$B17:$M17,,0,1):_xlfn.XLOOKUP($N$3,$B$6:$M$6,$B17:$M17,,0,1)),MIN(_xlfn.XLOOKUP($N$2,$B$6:$M$6,$B17:$M17,,0,1):_xlfn.XLOOKUP($N$3,$B$6:$M$6,$B17:$M17,,0,1)),MAX(_xlfn.XLOOKUP($N$2,$B$6:$M$6,$B17:$M17,,0,1):_xlfn.XLOOKUP($N$3,$B$6:$M$6,$B17:$M17,,0,1)))</f>
        <v>220.66666666666666</v>
      </c>
      <c r="AA17" s="19">
        <f t="shared" si="2"/>
        <v>2648</v>
      </c>
    </row>
    <row r="18" spans="1:27" x14ac:dyDescent="0.2">
      <c r="A18" s="6" t="s">
        <v>11</v>
      </c>
      <c r="B18" s="10">
        <f>SUM(B13:B17)</f>
        <v>1928</v>
      </c>
      <c r="C18" s="10">
        <f t="shared" ref="C18:Z18" si="4">SUM(C13:C17)</f>
        <v>1937</v>
      </c>
      <c r="D18" s="10">
        <f t="shared" si="4"/>
        <v>1946</v>
      </c>
      <c r="E18" s="10">
        <f t="shared" si="4"/>
        <v>1904</v>
      </c>
      <c r="F18" s="10">
        <f t="shared" si="4"/>
        <v>1820</v>
      </c>
      <c r="G18" s="10">
        <f t="shared" si="4"/>
        <v>1905</v>
      </c>
      <c r="H18" s="10">
        <f t="shared" si="4"/>
        <v>2027</v>
      </c>
      <c r="I18" s="10">
        <f t="shared" si="4"/>
        <v>1984</v>
      </c>
      <c r="J18" s="10">
        <f t="shared" si="4"/>
        <v>1993</v>
      </c>
      <c r="K18" s="10">
        <f t="shared" si="4"/>
        <v>2014</v>
      </c>
      <c r="L18" s="10">
        <f t="shared" si="4"/>
        <v>2010</v>
      </c>
      <c r="M18" s="10">
        <f t="shared" si="4"/>
        <v>2039</v>
      </c>
      <c r="N18" s="18">
        <f>SUM(B18:M18)</f>
        <v>23507</v>
      </c>
      <c r="O18" s="10">
        <f t="shared" si="4"/>
        <v>1958.9166666666667</v>
      </c>
      <c r="P18" s="10">
        <f t="shared" si="4"/>
        <v>1958.9166666666667</v>
      </c>
      <c r="Q18" s="10">
        <f t="shared" si="4"/>
        <v>1958.9166666666667</v>
      </c>
      <c r="R18" s="10">
        <f t="shared" si="4"/>
        <v>1958.9166666666667</v>
      </c>
      <c r="S18" s="10">
        <f t="shared" si="4"/>
        <v>1958.9166666666667</v>
      </c>
      <c r="T18" s="10">
        <f t="shared" si="4"/>
        <v>1958.9166666666667</v>
      </c>
      <c r="U18" s="10">
        <f t="shared" si="4"/>
        <v>1958.9166666666667</v>
      </c>
      <c r="V18" s="10">
        <f t="shared" si="4"/>
        <v>1958.9166666666667</v>
      </c>
      <c r="W18" s="10">
        <f t="shared" si="4"/>
        <v>1958.9166666666667</v>
      </c>
      <c r="X18" s="10">
        <f t="shared" si="4"/>
        <v>1958.9166666666667</v>
      </c>
      <c r="Y18" s="10">
        <f t="shared" si="4"/>
        <v>1958.9166666666667</v>
      </c>
      <c r="Z18" s="10">
        <f t="shared" si="4"/>
        <v>1958.9166666666667</v>
      </c>
      <c r="AA18" s="18">
        <f t="shared" si="2"/>
        <v>23507.000000000004</v>
      </c>
    </row>
    <row r="19" spans="1:27" x14ac:dyDescent="0.2">
      <c r="A19" s="8" t="s">
        <v>12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16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16"/>
    </row>
    <row r="20" spans="1:27" x14ac:dyDescent="0.2">
      <c r="A20" t="s">
        <v>13</v>
      </c>
      <c r="B20" s="24">
        <v>246</v>
      </c>
      <c r="C20" s="24">
        <v>246</v>
      </c>
      <c r="D20" s="24">
        <v>248</v>
      </c>
      <c r="E20" s="24">
        <v>247</v>
      </c>
      <c r="F20" s="24">
        <v>251</v>
      </c>
      <c r="G20" s="24">
        <v>255</v>
      </c>
      <c r="H20" s="24">
        <v>266</v>
      </c>
      <c r="I20" s="24">
        <v>266</v>
      </c>
      <c r="J20" s="24">
        <v>267</v>
      </c>
      <c r="K20" s="24">
        <v>269</v>
      </c>
      <c r="L20" s="24">
        <v>270</v>
      </c>
      <c r="M20" s="24">
        <v>282</v>
      </c>
      <c r="N20" s="18">
        <f t="shared" si="3"/>
        <v>3113</v>
      </c>
      <c r="O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P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Q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R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S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T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U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V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W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X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Y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Z20" s="24">
        <f>CHOOSE(MATCH($N$1,{"Average","Min","Max"},0),AVERAGE(_xlfn.XLOOKUP($N$2,$B$6:$M$6,$B20:$M20,,0,1):_xlfn.XLOOKUP($N$3,$B$6:$M$6,$B20:$M20,,0,1)),MIN(_xlfn.XLOOKUP($N$2,$B$6:$M$6,$B20:$M20,,0,1):_xlfn.XLOOKUP($N$3,$B$6:$M$6,$B20:$M20,,0,1)),MAX(_xlfn.XLOOKUP($N$2,$B$6:$M$6,$B20:$M20,,0,1):_xlfn.XLOOKUP($N$3,$B$6:$M$6,$B20:$M20,,0,1)))</f>
        <v>259.41666666666669</v>
      </c>
      <c r="AA20" s="18">
        <f t="shared" ref="AA20:AA26" si="5">SUM(O20:Z20)</f>
        <v>3112.9999999999995</v>
      </c>
    </row>
    <row r="21" spans="1:27" x14ac:dyDescent="0.2">
      <c r="A21" t="s">
        <v>14</v>
      </c>
      <c r="B21" s="24">
        <v>267</v>
      </c>
      <c r="C21" s="24">
        <v>263</v>
      </c>
      <c r="D21" s="24">
        <v>261</v>
      </c>
      <c r="E21" s="24">
        <v>258</v>
      </c>
      <c r="F21" s="24">
        <v>260</v>
      </c>
      <c r="G21" s="24">
        <v>261</v>
      </c>
      <c r="H21" s="24">
        <v>262</v>
      </c>
      <c r="I21" s="24">
        <v>262</v>
      </c>
      <c r="J21" s="24">
        <v>261</v>
      </c>
      <c r="K21" s="24">
        <v>258</v>
      </c>
      <c r="L21" s="24">
        <v>257</v>
      </c>
      <c r="M21" s="24">
        <v>270</v>
      </c>
      <c r="N21" s="18">
        <f t="shared" si="3"/>
        <v>3140</v>
      </c>
      <c r="O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P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Q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R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S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T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U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V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W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X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Y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Z21" s="24">
        <f>CHOOSE(MATCH($N$1,{"Average","Min","Max"},0),AVERAGE(_xlfn.XLOOKUP($N$2,$B$6:$M$6,$B21:$M21,,0,1):_xlfn.XLOOKUP($N$3,$B$6:$M$6,$B21:$M21,,0,1)),MIN(_xlfn.XLOOKUP($N$2,$B$6:$M$6,$B21:$M21,,0,1):_xlfn.XLOOKUP($N$3,$B$6:$M$6,$B21:$M21,,0,1)),MAX(_xlfn.XLOOKUP($N$2,$B$6:$M$6,$B21:$M21,,0,1):_xlfn.XLOOKUP($N$3,$B$6:$M$6,$B21:$M21,,0,1)))</f>
        <v>261.66666666666669</v>
      </c>
      <c r="AA21" s="18">
        <f t="shared" si="5"/>
        <v>3139.9999999999995</v>
      </c>
    </row>
    <row r="22" spans="1:27" x14ac:dyDescent="0.2">
      <c r="A22" t="s">
        <v>15</v>
      </c>
      <c r="B22" s="24">
        <v>208</v>
      </c>
      <c r="C22" s="24">
        <v>209</v>
      </c>
      <c r="D22" s="24">
        <v>211</v>
      </c>
      <c r="E22" s="24">
        <v>208</v>
      </c>
      <c r="F22" s="24">
        <v>204</v>
      </c>
      <c r="G22" s="24">
        <v>210</v>
      </c>
      <c r="H22" s="24">
        <v>217</v>
      </c>
      <c r="I22" s="24">
        <v>220</v>
      </c>
      <c r="J22" s="24">
        <v>222</v>
      </c>
      <c r="K22" s="24">
        <v>221</v>
      </c>
      <c r="L22" s="24">
        <v>219</v>
      </c>
      <c r="M22" s="24">
        <v>230</v>
      </c>
      <c r="N22" s="18">
        <f t="shared" si="3"/>
        <v>2579</v>
      </c>
      <c r="O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P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Q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R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S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T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U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V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W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X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Y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Z22" s="24">
        <f>CHOOSE(MATCH($N$1,{"Average","Min","Max"},0),AVERAGE(_xlfn.XLOOKUP($N$2,$B$6:$M$6,$B22:$M22,,0,1):_xlfn.XLOOKUP($N$3,$B$6:$M$6,$B22:$M22,,0,1)),MIN(_xlfn.XLOOKUP($N$2,$B$6:$M$6,$B22:$M22,,0,1):_xlfn.XLOOKUP($N$3,$B$6:$M$6,$B22:$M22,,0,1)),MAX(_xlfn.XLOOKUP($N$2,$B$6:$M$6,$B22:$M22,,0,1):_xlfn.XLOOKUP($N$3,$B$6:$M$6,$B22:$M22,,0,1)))</f>
        <v>214.91666666666666</v>
      </c>
      <c r="AA22" s="18">
        <f t="shared" si="5"/>
        <v>2579</v>
      </c>
    </row>
    <row r="23" spans="1:27" x14ac:dyDescent="0.2">
      <c r="A23" t="s">
        <v>16</v>
      </c>
      <c r="B23" s="24">
        <v>194</v>
      </c>
      <c r="C23" s="24">
        <v>196</v>
      </c>
      <c r="D23" s="24">
        <v>199</v>
      </c>
      <c r="E23" s="24">
        <v>197</v>
      </c>
      <c r="F23" s="24">
        <v>196</v>
      </c>
      <c r="G23" s="24">
        <v>208</v>
      </c>
      <c r="H23" s="24">
        <v>221</v>
      </c>
      <c r="I23" s="24">
        <v>228</v>
      </c>
      <c r="J23" s="24">
        <v>227</v>
      </c>
      <c r="K23" s="24">
        <v>228</v>
      </c>
      <c r="L23" s="24">
        <v>228</v>
      </c>
      <c r="M23" s="24">
        <v>239</v>
      </c>
      <c r="N23" s="18">
        <f t="shared" si="3"/>
        <v>2561</v>
      </c>
      <c r="O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P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Q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R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S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T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U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V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W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X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Y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Z23" s="24">
        <f>CHOOSE(MATCH($N$1,{"Average","Min","Max"},0),AVERAGE(_xlfn.XLOOKUP($N$2,$B$6:$M$6,$B23:$M23,,0,1):_xlfn.XLOOKUP($N$3,$B$6:$M$6,$B23:$M23,,0,1)),MIN(_xlfn.XLOOKUP($N$2,$B$6:$M$6,$B23:$M23,,0,1):_xlfn.XLOOKUP($N$3,$B$6:$M$6,$B23:$M23,,0,1)),MAX(_xlfn.XLOOKUP($N$2,$B$6:$M$6,$B23:$M23,,0,1):_xlfn.XLOOKUP($N$3,$B$6:$M$6,$B23:$M23,,0,1)))</f>
        <v>213.41666666666666</v>
      </c>
      <c r="AA23" s="18">
        <f t="shared" si="5"/>
        <v>2561</v>
      </c>
    </row>
    <row r="24" spans="1:27" x14ac:dyDescent="0.2">
      <c r="A24" t="s">
        <v>17</v>
      </c>
      <c r="B24" s="24">
        <v>154</v>
      </c>
      <c r="C24" s="24">
        <v>155</v>
      </c>
      <c r="D24" s="24">
        <v>156</v>
      </c>
      <c r="E24" s="24">
        <v>155</v>
      </c>
      <c r="F24" s="24">
        <v>143</v>
      </c>
      <c r="G24" s="24">
        <v>148</v>
      </c>
      <c r="H24" s="24">
        <v>152</v>
      </c>
      <c r="I24" s="24">
        <v>161</v>
      </c>
      <c r="J24" s="24">
        <v>153</v>
      </c>
      <c r="K24" s="24">
        <v>155</v>
      </c>
      <c r="L24" s="24">
        <v>156</v>
      </c>
      <c r="M24" s="24">
        <v>168</v>
      </c>
      <c r="N24" s="18">
        <f t="shared" si="3"/>
        <v>1856</v>
      </c>
      <c r="O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P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Q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R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S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T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U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V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W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X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Y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Z24" s="24">
        <f>CHOOSE(MATCH($N$1,{"Average","Min","Max"},0),AVERAGE(_xlfn.XLOOKUP($N$2,$B$6:$M$6,$B24:$M24,,0,1):_xlfn.XLOOKUP($N$3,$B$6:$M$6,$B24:$M24,,0,1)),MIN(_xlfn.XLOOKUP($N$2,$B$6:$M$6,$B24:$M24,,0,1):_xlfn.XLOOKUP($N$3,$B$6:$M$6,$B24:$M24,,0,1)),MAX(_xlfn.XLOOKUP($N$2,$B$6:$M$6,$B24:$M24,,0,1):_xlfn.XLOOKUP($N$3,$B$6:$M$6,$B24:$M24,,0,1)))</f>
        <v>154.66666666666666</v>
      </c>
      <c r="AA24" s="18">
        <f t="shared" si="5"/>
        <v>1856.0000000000002</v>
      </c>
    </row>
    <row r="25" spans="1:27" x14ac:dyDescent="0.2">
      <c r="A25" s="25" t="s">
        <v>1</v>
      </c>
      <c r="B25" s="17">
        <v>144</v>
      </c>
      <c r="C25" s="17">
        <v>142</v>
      </c>
      <c r="D25" s="17">
        <v>141</v>
      </c>
      <c r="E25" s="17">
        <v>120</v>
      </c>
      <c r="F25" s="17">
        <v>108</v>
      </c>
      <c r="G25" s="17">
        <v>119</v>
      </c>
      <c r="H25" s="17">
        <v>117</v>
      </c>
      <c r="I25" s="17">
        <v>114</v>
      </c>
      <c r="J25" s="17">
        <v>125</v>
      </c>
      <c r="K25" s="17">
        <v>126</v>
      </c>
      <c r="L25" s="17">
        <v>122</v>
      </c>
      <c r="M25" s="17">
        <v>124</v>
      </c>
      <c r="N25" s="19">
        <f t="shared" si="3"/>
        <v>1502</v>
      </c>
      <c r="O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P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Q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R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S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T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U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V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W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X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Y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Z25" s="17">
        <f>CHOOSE(MATCH($N$1,{"Average","Min","Max"},0),AVERAGE(_xlfn.XLOOKUP($N$2,$B$6:$M$6,$B25:$M25,,0,1):_xlfn.XLOOKUP($N$3,$B$6:$M$6,$B25:$M25,,0,1)),MIN(_xlfn.XLOOKUP($N$2,$B$6:$M$6,$B25:$M25,,0,1):_xlfn.XLOOKUP($N$3,$B$6:$M$6,$B25:$M25,,0,1)),MAX(_xlfn.XLOOKUP($N$2,$B$6:$M$6,$B25:$M25,,0,1):_xlfn.XLOOKUP($N$3,$B$6:$M$6,$B25:$M25,,0,1)))</f>
        <v>125.16666666666667</v>
      </c>
      <c r="AA25" s="19">
        <f t="shared" si="5"/>
        <v>1502.0000000000002</v>
      </c>
    </row>
    <row r="26" spans="1:27" x14ac:dyDescent="0.2">
      <c r="A26" s="12" t="s">
        <v>18</v>
      </c>
      <c r="B26" s="10">
        <f>SUM(B20:B25)</f>
        <v>1213</v>
      </c>
      <c r="C26" s="10">
        <f t="shared" ref="C26:Z26" si="6">SUM(C20:C25)</f>
        <v>1211</v>
      </c>
      <c r="D26" s="10">
        <f t="shared" si="6"/>
        <v>1216</v>
      </c>
      <c r="E26" s="10">
        <f t="shared" si="6"/>
        <v>1185</v>
      </c>
      <c r="F26" s="10">
        <f t="shared" si="6"/>
        <v>1162</v>
      </c>
      <c r="G26" s="10">
        <f t="shared" si="6"/>
        <v>1201</v>
      </c>
      <c r="H26" s="10">
        <f t="shared" si="6"/>
        <v>1235</v>
      </c>
      <c r="I26" s="10">
        <f t="shared" si="6"/>
        <v>1251</v>
      </c>
      <c r="J26" s="10">
        <f t="shared" si="6"/>
        <v>1255</v>
      </c>
      <c r="K26" s="10">
        <f t="shared" si="6"/>
        <v>1257</v>
      </c>
      <c r="L26" s="10">
        <f t="shared" si="6"/>
        <v>1252</v>
      </c>
      <c r="M26" s="10">
        <f t="shared" si="6"/>
        <v>1313</v>
      </c>
      <c r="N26" s="18">
        <f>SUM(B26:M26)</f>
        <v>14751</v>
      </c>
      <c r="O26" s="10">
        <f t="shared" si="6"/>
        <v>1229.25</v>
      </c>
      <c r="P26" s="10">
        <f t="shared" si="6"/>
        <v>1229.25</v>
      </c>
      <c r="Q26" s="10">
        <f t="shared" si="6"/>
        <v>1229.25</v>
      </c>
      <c r="R26" s="10">
        <f t="shared" si="6"/>
        <v>1229.25</v>
      </c>
      <c r="S26" s="10">
        <f t="shared" si="6"/>
        <v>1229.25</v>
      </c>
      <c r="T26" s="10">
        <f t="shared" si="6"/>
        <v>1229.25</v>
      </c>
      <c r="U26" s="10">
        <f t="shared" si="6"/>
        <v>1229.25</v>
      </c>
      <c r="V26" s="10">
        <f t="shared" si="6"/>
        <v>1229.25</v>
      </c>
      <c r="W26" s="10">
        <f t="shared" si="6"/>
        <v>1229.25</v>
      </c>
      <c r="X26" s="10">
        <f t="shared" si="6"/>
        <v>1229.25</v>
      </c>
      <c r="Y26" s="10">
        <f t="shared" si="6"/>
        <v>1229.25</v>
      </c>
      <c r="Z26" s="10">
        <f t="shared" si="6"/>
        <v>1229.25</v>
      </c>
      <c r="AA26" s="18">
        <f t="shared" si="5"/>
        <v>14751</v>
      </c>
    </row>
    <row r="27" spans="1:27" x14ac:dyDescent="0.2">
      <c r="A27" s="8" t="s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16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16"/>
    </row>
    <row r="28" spans="1:27" x14ac:dyDescent="0.2">
      <c r="A28" s="26" t="s">
        <v>20</v>
      </c>
      <c r="B28" s="27">
        <v>190</v>
      </c>
      <c r="C28" s="27">
        <v>187</v>
      </c>
      <c r="D28" s="27">
        <v>186</v>
      </c>
      <c r="E28" s="27">
        <v>171</v>
      </c>
      <c r="F28" s="27">
        <v>162</v>
      </c>
      <c r="G28" s="27">
        <v>187</v>
      </c>
      <c r="H28" s="27">
        <v>194</v>
      </c>
      <c r="I28" s="27">
        <v>201</v>
      </c>
      <c r="J28" s="27">
        <v>204</v>
      </c>
      <c r="K28" s="27">
        <v>202</v>
      </c>
      <c r="L28" s="27">
        <v>243</v>
      </c>
      <c r="M28" s="27">
        <v>233</v>
      </c>
      <c r="N28" s="18">
        <f>SUM(B28:M28)</f>
        <v>2360</v>
      </c>
      <c r="O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P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Q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R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S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T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U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V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W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X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Y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Z28" s="27">
        <f>CHOOSE(MATCH($N$1,{"Average","Min","Max"},0),AVERAGE(_xlfn.XLOOKUP($N$2,$B$6:$M$6,$B28:$M28,,0,1):_xlfn.XLOOKUP($N$3,$B$6:$M$6,$B28:$M28,,0,1)),MIN(_xlfn.XLOOKUP($N$2,$B$6:$M$6,$B28:$M28,,0,1):_xlfn.XLOOKUP($N$3,$B$6:$M$6,$B28:$M28,,0,1)),MAX(_xlfn.XLOOKUP($N$2,$B$6:$M$6,$B28:$M28,,0,1):_xlfn.XLOOKUP($N$3,$B$6:$M$6,$B28:$M28,,0,1)))</f>
        <v>196.66666666666666</v>
      </c>
      <c r="AA28" s="18">
        <f>SUM(O28:Z28)</f>
        <v>2360</v>
      </c>
    </row>
    <row r="29" spans="1:27" x14ac:dyDescent="0.2">
      <c r="A29" t="s">
        <v>21</v>
      </c>
      <c r="B29" s="27">
        <v>0</v>
      </c>
      <c r="C29" s="27">
        <v>0</v>
      </c>
      <c r="D29" s="27">
        <v>0</v>
      </c>
      <c r="E29" s="27">
        <v>1503</v>
      </c>
      <c r="F29" s="27">
        <v>2976</v>
      </c>
      <c r="G29" s="27">
        <v>175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5</v>
      </c>
      <c r="N29" s="18">
        <f>SUM(B29:M29)</f>
        <v>4659</v>
      </c>
      <c r="O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P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Q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R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S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T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U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V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W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X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Y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Z29" s="27">
        <f>CHOOSE(MATCH($N$1,{"Average","Min","Max"},0),AVERAGE(_xlfn.XLOOKUP($N$2,$B$6:$M$6,$B29:$M29,,0,1):_xlfn.XLOOKUP($N$3,$B$6:$M$6,$B29:$M29,,0,1)),MIN(_xlfn.XLOOKUP($N$2,$B$6:$M$6,$B29:$M29,,0,1):_xlfn.XLOOKUP($N$3,$B$6:$M$6,$B29:$M29,,0,1)),MAX(_xlfn.XLOOKUP($N$2,$B$6:$M$6,$B29:$M29,,0,1):_xlfn.XLOOKUP($N$3,$B$6:$M$6,$B29:$M29,,0,1)))</f>
        <v>388.25</v>
      </c>
      <c r="AA29" s="18">
        <f>SUM(O29:Z29)</f>
        <v>4659</v>
      </c>
    </row>
    <row r="30" spans="1:27" x14ac:dyDescent="0.2">
      <c r="A30" t="s">
        <v>22</v>
      </c>
      <c r="B30" s="27">
        <v>23</v>
      </c>
      <c r="C30" s="27">
        <v>44</v>
      </c>
      <c r="D30" s="27">
        <v>57</v>
      </c>
      <c r="E30" s="27">
        <v>20</v>
      </c>
      <c r="F30" s="27">
        <v>7</v>
      </c>
      <c r="G30" s="27">
        <v>10</v>
      </c>
      <c r="H30" s="27">
        <v>18</v>
      </c>
      <c r="I30" s="27">
        <v>34</v>
      </c>
      <c r="J30" s="27">
        <v>40</v>
      </c>
      <c r="K30" s="27">
        <v>48</v>
      </c>
      <c r="L30" s="27">
        <v>44</v>
      </c>
      <c r="M30" s="27"/>
      <c r="N30" s="18">
        <f t="shared" ref="N30:N31" si="7">SUM(B30:M30)</f>
        <v>345</v>
      </c>
      <c r="O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P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Q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R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S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T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U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V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W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X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Y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Z30" s="27">
        <f>CHOOSE(MATCH($N$1,{"Average","Min","Max"},0),AVERAGE(_xlfn.XLOOKUP($N$2,$B$6:$M$6,$B30:$M30,,0,1):_xlfn.XLOOKUP($N$3,$B$6:$M$6,$B30:$M30,,0,1)),MIN(_xlfn.XLOOKUP($N$2,$B$6:$M$6,$B30:$M30,,0,1):_xlfn.XLOOKUP($N$3,$B$6:$M$6,$B30:$M30,,0,1)),MAX(_xlfn.XLOOKUP($N$2,$B$6:$M$6,$B30:$M30,,0,1):_xlfn.XLOOKUP($N$3,$B$6:$M$6,$B30:$M30,,0,1)))</f>
        <v>31.363636363636363</v>
      </c>
      <c r="AA30" s="18">
        <f>SUM(O30:Z30)</f>
        <v>376.36363636363643</v>
      </c>
    </row>
    <row r="31" spans="1:27" x14ac:dyDescent="0.2">
      <c r="A31" s="25" t="s">
        <v>23</v>
      </c>
      <c r="B31" s="28">
        <v>100</v>
      </c>
      <c r="C31" s="28">
        <v>103</v>
      </c>
      <c r="D31" s="28">
        <v>102</v>
      </c>
      <c r="E31" s="28">
        <v>107</v>
      </c>
      <c r="F31" s="28">
        <v>115</v>
      </c>
      <c r="G31" s="28">
        <v>114</v>
      </c>
      <c r="H31" s="28">
        <v>117</v>
      </c>
      <c r="I31" s="28">
        <v>122</v>
      </c>
      <c r="J31" s="28">
        <v>119</v>
      </c>
      <c r="K31" s="28">
        <v>126</v>
      </c>
      <c r="L31" s="28">
        <v>141</v>
      </c>
      <c r="M31" s="28">
        <v>154</v>
      </c>
      <c r="N31" s="19">
        <f t="shared" si="7"/>
        <v>1420</v>
      </c>
      <c r="O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P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Q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R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S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T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U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V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W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X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Y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Z31" s="28">
        <f>CHOOSE(MATCH($N$1,{"Average","Min","Max"},0),AVERAGE(_xlfn.XLOOKUP($N$2,$B$6:$M$6,$B31:$M31,,0,1):_xlfn.XLOOKUP($N$3,$B$6:$M$6,$B31:$M31,,0,1)),MIN(_xlfn.XLOOKUP($N$2,$B$6:$M$6,$B31:$M31,,0,1):_xlfn.XLOOKUP($N$3,$B$6:$M$6,$B31:$M31,,0,1)),MAX(_xlfn.XLOOKUP($N$2,$B$6:$M$6,$B31:$M31,,0,1):_xlfn.XLOOKUP($N$3,$B$6:$M$6,$B31:$M31,,0,1)))</f>
        <v>118.33333333333333</v>
      </c>
      <c r="AA31" s="19">
        <f>SUM(O31:Z31)</f>
        <v>1419.9999999999998</v>
      </c>
    </row>
    <row r="32" spans="1:27" x14ac:dyDescent="0.2">
      <c r="A32" s="12" t="s">
        <v>24</v>
      </c>
      <c r="B32" s="10">
        <f>SUM(B28:B31)</f>
        <v>313</v>
      </c>
      <c r="C32" s="10">
        <f t="shared" ref="C32:Z32" si="8">SUM(C28:C31)</f>
        <v>334</v>
      </c>
      <c r="D32" s="10">
        <f t="shared" si="8"/>
        <v>345</v>
      </c>
      <c r="E32" s="10">
        <f t="shared" si="8"/>
        <v>1801</v>
      </c>
      <c r="F32" s="10">
        <f t="shared" si="8"/>
        <v>3260</v>
      </c>
      <c r="G32" s="10">
        <f t="shared" si="8"/>
        <v>486</v>
      </c>
      <c r="H32" s="10">
        <f t="shared" si="8"/>
        <v>329</v>
      </c>
      <c r="I32" s="10">
        <f t="shared" si="8"/>
        <v>357</v>
      </c>
      <c r="J32" s="10">
        <f t="shared" si="8"/>
        <v>363</v>
      </c>
      <c r="K32" s="10">
        <f t="shared" si="8"/>
        <v>376</v>
      </c>
      <c r="L32" s="10">
        <f t="shared" si="8"/>
        <v>428</v>
      </c>
      <c r="M32" s="10">
        <f t="shared" si="8"/>
        <v>392</v>
      </c>
      <c r="N32" s="18">
        <f>SUM(B32:M32)</f>
        <v>8784</v>
      </c>
      <c r="O32" s="10">
        <f t="shared" si="8"/>
        <v>734.61363636363637</v>
      </c>
      <c r="P32" s="10">
        <f t="shared" si="8"/>
        <v>734.61363636363637</v>
      </c>
      <c r="Q32" s="10">
        <f t="shared" si="8"/>
        <v>734.61363636363637</v>
      </c>
      <c r="R32" s="10">
        <f t="shared" si="8"/>
        <v>734.61363636363637</v>
      </c>
      <c r="S32" s="10">
        <f t="shared" si="8"/>
        <v>734.61363636363637</v>
      </c>
      <c r="T32" s="10">
        <f t="shared" si="8"/>
        <v>734.61363636363637</v>
      </c>
      <c r="U32" s="10">
        <f t="shared" si="8"/>
        <v>734.61363636363637</v>
      </c>
      <c r="V32" s="10">
        <f t="shared" si="8"/>
        <v>734.61363636363637</v>
      </c>
      <c r="W32" s="10">
        <f t="shared" si="8"/>
        <v>734.61363636363637</v>
      </c>
      <c r="X32" s="10">
        <f t="shared" si="8"/>
        <v>734.61363636363637</v>
      </c>
      <c r="Y32" s="10">
        <f t="shared" si="8"/>
        <v>734.61363636363637</v>
      </c>
      <c r="Z32" s="10">
        <f t="shared" si="8"/>
        <v>734.61363636363637</v>
      </c>
      <c r="AA32" s="18">
        <f>SUM(O32:Z32)</f>
        <v>8815.3636363636342</v>
      </c>
    </row>
    <row r="33" spans="1:27" x14ac:dyDescent="0.2">
      <c r="A33" s="8" t="s">
        <v>25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16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16"/>
    </row>
    <row r="34" spans="1:27" x14ac:dyDescent="0.2">
      <c r="A34" t="s">
        <v>26</v>
      </c>
      <c r="B34" s="24">
        <v>204</v>
      </c>
      <c r="C34" s="24">
        <v>198</v>
      </c>
      <c r="D34" s="24">
        <v>195</v>
      </c>
      <c r="E34" s="24">
        <v>186</v>
      </c>
      <c r="F34" s="24">
        <v>129</v>
      </c>
      <c r="G34" s="24">
        <v>185</v>
      </c>
      <c r="H34" s="24">
        <v>194</v>
      </c>
      <c r="I34" s="24">
        <v>208</v>
      </c>
      <c r="J34" s="24">
        <v>210</v>
      </c>
      <c r="K34" s="24">
        <v>223</v>
      </c>
      <c r="L34" s="24">
        <v>225</v>
      </c>
      <c r="M34" s="24">
        <v>220</v>
      </c>
      <c r="N34" s="18">
        <f t="shared" ref="N34:N37" si="9">SUM(B34:M34)</f>
        <v>2377</v>
      </c>
      <c r="O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P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Q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R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S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T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U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V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W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X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Y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Z34" s="24">
        <f>CHOOSE(MATCH($N$1,{"Average","Min","Max"},0),AVERAGE(_xlfn.XLOOKUP($N$2,$B$6:$M$6,$B34:$M34,,0,1):_xlfn.XLOOKUP($N$3,$B$6:$M$6,$B34:$M34,,0,1)),MIN(_xlfn.XLOOKUP($N$2,$B$6:$M$6,$B34:$M34,,0,1):_xlfn.XLOOKUP($N$3,$B$6:$M$6,$B34:$M34,,0,1)),MAX(_xlfn.XLOOKUP($N$2,$B$6:$M$6,$B34:$M34,,0,1):_xlfn.XLOOKUP($N$3,$B$6:$M$6,$B34:$M34,,0,1)))</f>
        <v>198.08333333333334</v>
      </c>
      <c r="AA34" s="18">
        <f>SUM(O34:Z34)</f>
        <v>2377</v>
      </c>
    </row>
    <row r="35" spans="1:27" x14ac:dyDescent="0.2">
      <c r="A35" t="s">
        <v>27</v>
      </c>
      <c r="B35" s="24">
        <v>149</v>
      </c>
      <c r="C35" s="24">
        <v>150</v>
      </c>
      <c r="D35" s="24">
        <v>151</v>
      </c>
      <c r="E35" s="24">
        <v>108</v>
      </c>
      <c r="F35" s="24">
        <v>104</v>
      </c>
      <c r="G35" s="24">
        <v>116</v>
      </c>
      <c r="H35" s="24">
        <v>124</v>
      </c>
      <c r="I35" s="24">
        <v>127</v>
      </c>
      <c r="J35" s="24">
        <v>122</v>
      </c>
      <c r="K35" s="24">
        <v>134</v>
      </c>
      <c r="L35" s="24">
        <v>127</v>
      </c>
      <c r="M35" s="24">
        <v>124</v>
      </c>
      <c r="N35" s="18">
        <f t="shared" si="9"/>
        <v>1536</v>
      </c>
      <c r="O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P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Q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R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S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T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U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V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W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X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Y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Z35" s="24">
        <f>CHOOSE(MATCH($N$1,{"Average","Min","Max"},0),AVERAGE(_xlfn.XLOOKUP($N$2,$B$6:$M$6,$B35:$M35,,0,1):_xlfn.XLOOKUP($N$3,$B$6:$M$6,$B35:$M35,,0,1)),MIN(_xlfn.XLOOKUP($N$2,$B$6:$M$6,$B35:$M35,,0,1):_xlfn.XLOOKUP($N$3,$B$6:$M$6,$B35:$M35,,0,1)),MAX(_xlfn.XLOOKUP($N$2,$B$6:$M$6,$B35:$M35,,0,1):_xlfn.XLOOKUP($N$3,$B$6:$M$6,$B35:$M35,,0,1)))</f>
        <v>128</v>
      </c>
      <c r="AA35" s="18">
        <f>SUM(O35:Z35)</f>
        <v>1536</v>
      </c>
    </row>
    <row r="36" spans="1:27" x14ac:dyDescent="0.2">
      <c r="A36" t="s">
        <v>28</v>
      </c>
      <c r="B36" s="24">
        <v>50</v>
      </c>
      <c r="C36" s="24">
        <v>65</v>
      </c>
      <c r="D36" s="24">
        <v>66</v>
      </c>
      <c r="E36" s="24">
        <v>62</v>
      </c>
      <c r="F36" s="24">
        <v>53</v>
      </c>
      <c r="G36" s="24">
        <v>50</v>
      </c>
      <c r="H36" s="24">
        <v>75</v>
      </c>
      <c r="I36" s="24">
        <v>76</v>
      </c>
      <c r="J36" s="24">
        <v>77</v>
      </c>
      <c r="K36" s="24">
        <v>80</v>
      </c>
      <c r="L36" s="24">
        <v>79</v>
      </c>
      <c r="M36" s="24">
        <v>62</v>
      </c>
      <c r="N36" s="18">
        <f t="shared" si="9"/>
        <v>795</v>
      </c>
      <c r="O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P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Q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R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S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T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U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V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W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X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Y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Z36" s="24">
        <f>CHOOSE(MATCH($N$1,{"Average","Min","Max"},0),AVERAGE(_xlfn.XLOOKUP($N$2,$B$6:$M$6,$B36:$M36,,0,1):_xlfn.XLOOKUP($N$3,$B$6:$M$6,$B36:$M36,,0,1)),MIN(_xlfn.XLOOKUP($N$2,$B$6:$M$6,$B36:$M36,,0,1):_xlfn.XLOOKUP($N$3,$B$6:$M$6,$B36:$M36,,0,1)),MAX(_xlfn.XLOOKUP($N$2,$B$6:$M$6,$B36:$M36,,0,1):_xlfn.XLOOKUP($N$3,$B$6:$M$6,$B36:$M36,,0,1)))</f>
        <v>66.25</v>
      </c>
      <c r="AA36" s="18">
        <f>SUM(O36:Z36)</f>
        <v>795</v>
      </c>
    </row>
    <row r="37" spans="1:27" x14ac:dyDescent="0.2">
      <c r="A37" s="25" t="s">
        <v>29</v>
      </c>
      <c r="B37" s="17">
        <v>79</v>
      </c>
      <c r="C37" s="17">
        <v>72</v>
      </c>
      <c r="D37" s="17">
        <v>74</v>
      </c>
      <c r="E37" s="17">
        <v>57</v>
      </c>
      <c r="F37" s="17">
        <v>56</v>
      </c>
      <c r="G37" s="17">
        <v>61</v>
      </c>
      <c r="H37" s="17">
        <v>72</v>
      </c>
      <c r="I37" s="17">
        <v>84</v>
      </c>
      <c r="J37" s="17">
        <v>81</v>
      </c>
      <c r="K37" s="17">
        <v>83</v>
      </c>
      <c r="L37" s="17">
        <v>80</v>
      </c>
      <c r="M37" s="17">
        <v>78</v>
      </c>
      <c r="N37" s="19">
        <f t="shared" si="9"/>
        <v>877</v>
      </c>
      <c r="O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P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Q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R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S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T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U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V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W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X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Y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Z37" s="17">
        <f>CHOOSE(MATCH($N$1,{"Average","Min","Max"},0),AVERAGE(_xlfn.XLOOKUP($N$2,$B$6:$M$6,$B37:$M37,,0,1):_xlfn.XLOOKUP($N$3,$B$6:$M$6,$B37:$M37,,0,1)),MIN(_xlfn.XLOOKUP($N$2,$B$6:$M$6,$B37:$M37,,0,1):_xlfn.XLOOKUP($N$3,$B$6:$M$6,$B37:$M37,,0,1)),MAX(_xlfn.XLOOKUP($N$2,$B$6:$M$6,$B37:$M37,,0,1):_xlfn.XLOOKUP($N$3,$B$6:$M$6,$B37:$M37,,0,1)))</f>
        <v>73.083333333333329</v>
      </c>
      <c r="AA37" s="19">
        <f>SUM(O37:Z37)</f>
        <v>877.00000000000011</v>
      </c>
    </row>
    <row r="38" spans="1:27" x14ac:dyDescent="0.2">
      <c r="A38" s="12" t="s">
        <v>30</v>
      </c>
      <c r="B38" s="10">
        <f>SUM(B34:B37)</f>
        <v>482</v>
      </c>
      <c r="C38" s="10">
        <f t="shared" ref="C38:Z38" si="10">SUM(C34:C37)</f>
        <v>485</v>
      </c>
      <c r="D38" s="10">
        <f t="shared" si="10"/>
        <v>486</v>
      </c>
      <c r="E38" s="10">
        <f t="shared" si="10"/>
        <v>413</v>
      </c>
      <c r="F38" s="10">
        <f t="shared" si="10"/>
        <v>342</v>
      </c>
      <c r="G38" s="10">
        <f t="shared" si="10"/>
        <v>412</v>
      </c>
      <c r="H38" s="10">
        <f t="shared" si="10"/>
        <v>465</v>
      </c>
      <c r="I38" s="10">
        <f t="shared" si="10"/>
        <v>495</v>
      </c>
      <c r="J38" s="10">
        <f t="shared" si="10"/>
        <v>490</v>
      </c>
      <c r="K38" s="10">
        <f t="shared" si="10"/>
        <v>520</v>
      </c>
      <c r="L38" s="10">
        <f t="shared" si="10"/>
        <v>511</v>
      </c>
      <c r="M38" s="10">
        <f t="shared" si="10"/>
        <v>484</v>
      </c>
      <c r="N38" s="18">
        <f>SUM(B38:M38)</f>
        <v>5585</v>
      </c>
      <c r="O38" s="10">
        <f t="shared" si="10"/>
        <v>465.41666666666669</v>
      </c>
      <c r="P38" s="10">
        <f t="shared" si="10"/>
        <v>465.41666666666669</v>
      </c>
      <c r="Q38" s="10">
        <f t="shared" si="10"/>
        <v>465.41666666666669</v>
      </c>
      <c r="R38" s="10">
        <f t="shared" si="10"/>
        <v>465.41666666666669</v>
      </c>
      <c r="S38" s="10">
        <f t="shared" si="10"/>
        <v>465.41666666666669</v>
      </c>
      <c r="T38" s="10">
        <f t="shared" si="10"/>
        <v>465.41666666666669</v>
      </c>
      <c r="U38" s="10">
        <f t="shared" si="10"/>
        <v>465.41666666666669</v>
      </c>
      <c r="V38" s="10">
        <f t="shared" si="10"/>
        <v>465.41666666666669</v>
      </c>
      <c r="W38" s="10">
        <f t="shared" si="10"/>
        <v>465.41666666666669</v>
      </c>
      <c r="X38" s="10">
        <f t="shared" si="10"/>
        <v>465.41666666666669</v>
      </c>
      <c r="Y38" s="10">
        <f t="shared" si="10"/>
        <v>465.41666666666669</v>
      </c>
      <c r="Z38" s="10">
        <f t="shared" si="10"/>
        <v>465.41666666666669</v>
      </c>
      <c r="AA38" s="18">
        <f>SUM(O38:Z38)</f>
        <v>5585.0000000000009</v>
      </c>
    </row>
    <row r="39" spans="1:27" x14ac:dyDescent="0.2">
      <c r="A39" s="29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9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9"/>
    </row>
    <row r="40" spans="1:27" x14ac:dyDescent="0.2">
      <c r="A40" s="12" t="s">
        <v>31</v>
      </c>
      <c r="B40" s="10">
        <f>SUM(B18,B26,B32,B38)</f>
        <v>3936</v>
      </c>
      <c r="C40" s="10">
        <f t="shared" ref="C40:Z40" si="11">SUM(C18,C26,C32,C38)</f>
        <v>3967</v>
      </c>
      <c r="D40" s="10">
        <f t="shared" si="11"/>
        <v>3993</v>
      </c>
      <c r="E40" s="10">
        <f t="shared" si="11"/>
        <v>5303</v>
      </c>
      <c r="F40" s="10">
        <f t="shared" si="11"/>
        <v>6584</v>
      </c>
      <c r="G40" s="10">
        <f t="shared" si="11"/>
        <v>4004</v>
      </c>
      <c r="H40" s="10">
        <f t="shared" si="11"/>
        <v>4056</v>
      </c>
      <c r="I40" s="10">
        <f t="shared" si="11"/>
        <v>4087</v>
      </c>
      <c r="J40" s="10">
        <f t="shared" si="11"/>
        <v>4101</v>
      </c>
      <c r="K40" s="10">
        <f t="shared" si="11"/>
        <v>4167</v>
      </c>
      <c r="L40" s="10">
        <f t="shared" si="11"/>
        <v>4201</v>
      </c>
      <c r="M40" s="10">
        <f t="shared" si="11"/>
        <v>4228</v>
      </c>
      <c r="N40" s="18">
        <f>SUM(B40:M40)</f>
        <v>52627</v>
      </c>
      <c r="O40" s="10">
        <f t="shared" si="11"/>
        <v>4388.19696969697</v>
      </c>
      <c r="P40" s="10">
        <f t="shared" si="11"/>
        <v>4388.19696969697</v>
      </c>
      <c r="Q40" s="10">
        <f t="shared" si="11"/>
        <v>4388.19696969697</v>
      </c>
      <c r="R40" s="10">
        <f t="shared" si="11"/>
        <v>4388.19696969697</v>
      </c>
      <c r="S40" s="10">
        <f t="shared" si="11"/>
        <v>4388.19696969697</v>
      </c>
      <c r="T40" s="10">
        <f t="shared" si="11"/>
        <v>4388.19696969697</v>
      </c>
      <c r="U40" s="10">
        <f t="shared" si="11"/>
        <v>4388.19696969697</v>
      </c>
      <c r="V40" s="10">
        <f t="shared" si="11"/>
        <v>4388.19696969697</v>
      </c>
      <c r="W40" s="10">
        <f t="shared" si="11"/>
        <v>4388.19696969697</v>
      </c>
      <c r="X40" s="10">
        <f t="shared" si="11"/>
        <v>4388.19696969697</v>
      </c>
      <c r="Y40" s="10">
        <f t="shared" si="11"/>
        <v>4388.19696969697</v>
      </c>
      <c r="Z40" s="10">
        <f t="shared" si="11"/>
        <v>4388.19696969697</v>
      </c>
      <c r="AA40" s="18">
        <f>SUM(O40:Z40)</f>
        <v>52658.363636363625</v>
      </c>
    </row>
    <row r="41" spans="1:27" x14ac:dyDescent="0.2">
      <c r="A41" s="29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11"/>
      <c r="N41" s="19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19"/>
    </row>
    <row r="42" spans="1:27" ht="17" thickBot="1" x14ac:dyDescent="0.25">
      <c r="A42" s="30" t="s">
        <v>32</v>
      </c>
      <c r="B42" s="32">
        <f>SUM(B10,B40)</f>
        <v>6876</v>
      </c>
      <c r="C42" s="32">
        <f t="shared" ref="C42:Z42" si="12">SUM(C10,C40)</f>
        <v>6901</v>
      </c>
      <c r="D42" s="32">
        <f t="shared" si="12"/>
        <v>6785</v>
      </c>
      <c r="E42" s="32">
        <f t="shared" si="12"/>
        <v>8112</v>
      </c>
      <c r="F42" s="32">
        <f t="shared" si="12"/>
        <v>9415</v>
      </c>
      <c r="G42" s="32">
        <f t="shared" si="12"/>
        <v>6924</v>
      </c>
      <c r="H42" s="32">
        <f t="shared" si="12"/>
        <v>6971</v>
      </c>
      <c r="I42" s="32">
        <f t="shared" si="12"/>
        <v>6987</v>
      </c>
      <c r="J42" s="32">
        <f t="shared" si="12"/>
        <v>7033</v>
      </c>
      <c r="K42" s="32">
        <f t="shared" si="12"/>
        <v>7349</v>
      </c>
      <c r="L42" s="32">
        <f t="shared" si="12"/>
        <v>7373</v>
      </c>
      <c r="M42" s="32">
        <f t="shared" si="12"/>
        <v>7420</v>
      </c>
      <c r="N42" s="35">
        <f>SUM(B42:M42)</f>
        <v>88146</v>
      </c>
      <c r="O42" s="32">
        <f t="shared" si="12"/>
        <v>7348.113636363636</v>
      </c>
      <c r="P42" s="32">
        <f t="shared" si="12"/>
        <v>7348.113636363636</v>
      </c>
      <c r="Q42" s="32">
        <f t="shared" si="12"/>
        <v>7348.113636363636</v>
      </c>
      <c r="R42" s="32">
        <f t="shared" si="12"/>
        <v>7348.113636363636</v>
      </c>
      <c r="S42" s="32">
        <f t="shared" si="12"/>
        <v>7348.113636363636</v>
      </c>
      <c r="T42" s="32">
        <f t="shared" si="12"/>
        <v>7348.113636363636</v>
      </c>
      <c r="U42" s="32">
        <f t="shared" si="12"/>
        <v>7348.113636363636</v>
      </c>
      <c r="V42" s="32">
        <f t="shared" si="12"/>
        <v>7348.113636363636</v>
      </c>
      <c r="W42" s="32">
        <f t="shared" si="12"/>
        <v>7348.113636363636</v>
      </c>
      <c r="X42" s="32">
        <f t="shared" si="12"/>
        <v>7348.113636363636</v>
      </c>
      <c r="Y42" s="32">
        <f t="shared" si="12"/>
        <v>7348.113636363636</v>
      </c>
      <c r="Z42" s="32">
        <f t="shared" si="12"/>
        <v>7348.113636363636</v>
      </c>
      <c r="AA42" s="35">
        <f>SUM(O42:Z42)</f>
        <v>88177.363636363603</v>
      </c>
    </row>
    <row r="43" spans="1:27" ht="17" thickTop="1" x14ac:dyDescent="0.2"/>
    <row r="45" spans="1:27" ht="16" customHeight="1" x14ac:dyDescent="0.2">
      <c r="B45" s="12"/>
    </row>
    <row r="46" spans="1:27" x14ac:dyDescent="0.2">
      <c r="A46" s="39" t="s">
        <v>41</v>
      </c>
    </row>
    <row r="47" spans="1:27" x14ac:dyDescent="0.2">
      <c r="A47" s="38">
        <v>6</v>
      </c>
      <c r="B47" cm="1">
        <f t="array" ref="B47:M47">_xlfn.XLOOKUP($N$2,$B$6:$M$6,$B34:$M34,,0,1):_xlfn.XLOOKUP($N$3,$B$6:$M$6,$B34:$M34,,0,1)</f>
        <v>204</v>
      </c>
      <c r="C47">
        <v>198</v>
      </c>
      <c r="D47">
        <v>195</v>
      </c>
      <c r="E47">
        <v>186</v>
      </c>
      <c r="F47">
        <v>129</v>
      </c>
      <c r="G47">
        <v>185</v>
      </c>
      <c r="H47">
        <v>194</v>
      </c>
      <c r="I47">
        <v>208</v>
      </c>
      <c r="J47">
        <v>210</v>
      </c>
      <c r="K47">
        <v>223</v>
      </c>
      <c r="L47">
        <v>225</v>
      </c>
      <c r="M47">
        <v>220</v>
      </c>
    </row>
    <row r="48" spans="1:27" x14ac:dyDescent="0.2">
      <c r="A48" s="38"/>
    </row>
    <row r="49" spans="1:7" x14ac:dyDescent="0.2">
      <c r="A49" s="38">
        <v>6</v>
      </c>
      <c r="B49" cm="1">
        <f t="array" aca="1" ref="B49:G49" ca="1">OFFSET($A34,,1,,A49)</f>
        <v>204</v>
      </c>
      <c r="C49">
        <f ca="1"/>
        <v>198</v>
      </c>
      <c r="D49">
        <f ca="1"/>
        <v>195</v>
      </c>
      <c r="E49">
        <f ca="1"/>
        <v>186</v>
      </c>
      <c r="F49">
        <f ca="1"/>
        <v>129</v>
      </c>
      <c r="G49">
        <f ca="1"/>
        <v>185</v>
      </c>
    </row>
    <row r="51" spans="1:7" x14ac:dyDescent="0.2">
      <c r="A51">
        <f>MONTH(N3)-MONTH(N2)+1</f>
        <v>12</v>
      </c>
      <c r="B51" cm="1">
        <f t="array" aca="1" ref="B51:G51" ca="1">OFFSET(INDEX($B34:$M34,1,MONTH($N$2)),,,,A49)</f>
        <v>204</v>
      </c>
      <c r="C51">
        <f ca="1"/>
        <v>198</v>
      </c>
      <c r="D51">
        <f ca="1"/>
        <v>195</v>
      </c>
      <c r="E51">
        <f ca="1"/>
        <v>186</v>
      </c>
      <c r="F51">
        <f ca="1"/>
        <v>129</v>
      </c>
      <c r="G51">
        <f ca="1"/>
        <v>185</v>
      </c>
    </row>
  </sheetData>
  <mergeCells count="1">
    <mergeCell ref="B2:F3"/>
  </mergeCells>
  <conditionalFormatting sqref="B47:M47">
    <cfRule type="notContainsBlanks" dxfId="1" priority="2">
      <formula>LEN(TRIM(B47))&gt;0</formula>
    </cfRule>
  </conditionalFormatting>
  <conditionalFormatting sqref="B49:M49">
    <cfRule type="notContainsBlanks" dxfId="0" priority="1">
      <formula>LEN(TRIM(B49))&gt;0</formula>
    </cfRule>
  </conditionalFormatting>
  <dataValidations count="2">
    <dataValidation type="list" allowBlank="1" showInputMessage="1" showErrorMessage="1" sqref="N2:N3" xr:uid="{462A7261-EDCA-4A9E-AEC4-EB05CACF67A1}">
      <formula1>$B$6:$M$6</formula1>
    </dataValidation>
    <dataValidation type="list" allowBlank="1" showInputMessage="1" showErrorMessage="1" sqref="N1" xr:uid="{DE33010B-0F9B-4F80-9EAE-99D6450D852D}">
      <formula1>"Average,Min,Max"</formula1>
    </dataValidation>
  </dataValidations>
  <pageMargins left="0.7" right="0.7" top="0.75" bottom="0.75" header="0.3" footer="0.3"/>
  <ignoredErrors>
    <ignoredError sqref="N8:N42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4367D-9DB8-4705-97EA-2F5734310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Marketing_Expenses_2018 (Roll)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Tamas Bodor</cp:lastModifiedBy>
  <dcterms:created xsi:type="dcterms:W3CDTF">2019-10-31T19:12:09Z</dcterms:created>
  <dcterms:modified xsi:type="dcterms:W3CDTF">2026-03-31T16:34:03Z</dcterms:modified>
</cp:coreProperties>
</file>